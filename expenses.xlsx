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cfa110cd533fea/Portfolio ^N1/Documents/"/>
    </mc:Choice>
  </mc:AlternateContent>
  <xr:revisionPtr revIDLastSave="0" documentId="8_{D4D50615-3AB5-4600-AF13-1757EB7AD02D}" xr6:coauthVersionLast="47" xr6:coauthVersionMax="47" xr10:uidLastSave="{00000000-0000-0000-0000-000000000000}"/>
  <bookViews>
    <workbookView xWindow="-108" yWindow="-108" windowWidth="23256" windowHeight="12456" xr2:uid="{088F42C7-900E-49DC-8CFB-B706DCCB3B48}"/>
  </bookViews>
  <sheets>
    <sheet name="Sheet1" sheetId="1" r:id="rId1"/>
  </sheets>
  <definedNames>
    <definedName name="_xlnm._FilterDatabase" localSheetId="0" hidden="1">Sheet1!$A$1:$D$16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I3" i="1"/>
  <c r="I2" i="1"/>
  <c r="E2" i="1"/>
</calcChain>
</file>

<file path=xl/sharedStrings.xml><?xml version="1.0" encoding="utf-8"?>
<sst xmlns="http://schemas.openxmlformats.org/spreadsheetml/2006/main" count="40" uniqueCount="19">
  <si>
    <t>Date</t>
  </si>
  <si>
    <t>Item</t>
  </si>
  <si>
    <t>Category</t>
  </si>
  <si>
    <t>Cost</t>
  </si>
  <si>
    <t>Lunch</t>
  </si>
  <si>
    <t>Food</t>
  </si>
  <si>
    <t>Taxi</t>
  </si>
  <si>
    <t>Transport</t>
  </si>
  <si>
    <t>Groceries</t>
  </si>
  <si>
    <t>Bus Fare</t>
  </si>
  <si>
    <t>Juice</t>
  </si>
  <si>
    <t>Internet</t>
  </si>
  <si>
    <t>Bills</t>
  </si>
  <si>
    <t>Dinner</t>
  </si>
  <si>
    <t>Electricity</t>
  </si>
  <si>
    <t>Snacks</t>
  </si>
  <si>
    <t>Water</t>
  </si>
  <si>
    <t>Total</t>
  </si>
  <si>
    <t xml:space="preserve">Bills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</si>
</sst>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B0E5-C63C-4D4E-840A-507D9CEC9644}">
  <sheetPr filterMode="1"/>
  <dimension ref="A1:I16"/>
  <sheetViews>
    <sheetView tabSelected="1" workbookViewId="0">
      <selection activeCell="B2" sqref="B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17</v>
      </c>
      <c r="H1" t="s">
        <v>2</v>
      </c>
      <c r="I1" t="s">
        <v>17</v>
      </c>
    </row>
    <row r="2" spans="1:9" ht="28.8" x14ac:dyDescent="0.3">
      <c r="A2" s="2">
        <v>46117</v>
      </c>
      <c r="B2" s="3" t="s">
        <v>14</v>
      </c>
      <c r="C2" s="3" t="s">
        <v>12</v>
      </c>
      <c r="D2" s="3">
        <v>4000</v>
      </c>
      <c r="E2">
        <f>SUM(C2:D16)</f>
        <v>21800</v>
      </c>
      <c r="H2" s="3" t="s">
        <v>5</v>
      </c>
      <c r="I2">
        <f>SUMIF(C2:C16, "Food", D2:D16)</f>
        <v>10500</v>
      </c>
    </row>
    <row r="3" spans="1:9" x14ac:dyDescent="0.3">
      <c r="A3" s="2">
        <v>46114</v>
      </c>
      <c r="B3" s="3" t="s">
        <v>8</v>
      </c>
      <c r="C3" s="3" t="s">
        <v>5</v>
      </c>
      <c r="D3" s="3">
        <v>3500</v>
      </c>
      <c r="H3" s="3" t="s">
        <v>7</v>
      </c>
      <c r="I3">
        <f>SUMIF(C2:C16, "Transport", D2:D16)</f>
        <v>3300</v>
      </c>
    </row>
    <row r="4" spans="1:9" x14ac:dyDescent="0.3">
      <c r="A4" s="2">
        <v>46115</v>
      </c>
      <c r="B4" s="3" t="s">
        <v>11</v>
      </c>
      <c r="C4" s="3" t="s">
        <v>12</v>
      </c>
      <c r="D4" s="3">
        <v>2500</v>
      </c>
      <c r="H4" s="3" t="s">
        <v>18</v>
      </c>
      <c r="I4">
        <f>SUMIF(C2:C16, "Bills", D2:D16)</f>
        <v>8000</v>
      </c>
    </row>
    <row r="5" spans="1:9" hidden="1" x14ac:dyDescent="0.3">
      <c r="A5" s="2">
        <v>46116</v>
      </c>
      <c r="B5" s="3" t="s">
        <v>13</v>
      </c>
      <c r="C5" s="3" t="s">
        <v>5</v>
      </c>
      <c r="D5" s="3">
        <v>1800</v>
      </c>
      <c r="H5" s="3"/>
    </row>
    <row r="6" spans="1:9" hidden="1" x14ac:dyDescent="0.3">
      <c r="A6" s="2">
        <v>46119</v>
      </c>
      <c r="B6" s="3" t="s">
        <v>13</v>
      </c>
      <c r="C6" s="3" t="s">
        <v>5</v>
      </c>
      <c r="D6" s="3">
        <v>1700</v>
      </c>
      <c r="H6" s="3"/>
    </row>
    <row r="7" spans="1:9" x14ac:dyDescent="0.3">
      <c r="A7" s="2">
        <v>46119</v>
      </c>
      <c r="B7" s="3" t="s">
        <v>16</v>
      </c>
      <c r="C7" s="3" t="s">
        <v>12</v>
      </c>
      <c r="D7" s="3">
        <v>1500</v>
      </c>
      <c r="H7" s="3"/>
    </row>
    <row r="8" spans="1:9" x14ac:dyDescent="0.3">
      <c r="A8" s="2">
        <v>46118</v>
      </c>
      <c r="B8" s="3" t="s">
        <v>4</v>
      </c>
      <c r="C8" s="3" t="s">
        <v>5</v>
      </c>
      <c r="D8" s="3">
        <v>1300</v>
      </c>
      <c r="H8" s="3"/>
    </row>
    <row r="9" spans="1:9" x14ac:dyDescent="0.3">
      <c r="A9" s="2">
        <v>46113</v>
      </c>
      <c r="B9" s="3" t="s">
        <v>4</v>
      </c>
      <c r="C9" s="3" t="s">
        <v>5</v>
      </c>
      <c r="D9" s="3">
        <v>1200</v>
      </c>
      <c r="H9" s="3"/>
    </row>
    <row r="10" spans="1:9" x14ac:dyDescent="0.3">
      <c r="A10" s="2">
        <v>46120</v>
      </c>
      <c r="B10" s="3" t="s">
        <v>6</v>
      </c>
      <c r="C10" s="3" t="s">
        <v>7</v>
      </c>
      <c r="D10" s="3">
        <v>1000</v>
      </c>
      <c r="H10" s="3"/>
    </row>
    <row r="11" spans="1:9" x14ac:dyDescent="0.3">
      <c r="A11" s="2">
        <v>46116</v>
      </c>
      <c r="B11" s="3" t="s">
        <v>6</v>
      </c>
      <c r="C11" s="3" t="s">
        <v>7</v>
      </c>
      <c r="D11" s="3">
        <v>900</v>
      </c>
      <c r="H11" s="3"/>
    </row>
    <row r="12" spans="1:9" x14ac:dyDescent="0.3">
      <c r="A12" s="2">
        <v>46113</v>
      </c>
      <c r="B12" s="3" t="s">
        <v>6</v>
      </c>
      <c r="C12" s="3" t="s">
        <v>7</v>
      </c>
      <c r="D12" s="3">
        <v>800</v>
      </c>
      <c r="H12" s="3"/>
    </row>
    <row r="13" spans="1:9" x14ac:dyDescent="0.3">
      <c r="A13" s="2">
        <v>46117</v>
      </c>
      <c r="B13" s="3" t="s">
        <v>15</v>
      </c>
      <c r="C13" s="3" t="s">
        <v>5</v>
      </c>
      <c r="D13" s="3">
        <v>600</v>
      </c>
      <c r="H13" s="3"/>
    </row>
    <row r="14" spans="1:9" x14ac:dyDescent="0.3">
      <c r="A14" s="2">
        <v>46115</v>
      </c>
      <c r="B14" s="3" t="s">
        <v>10</v>
      </c>
      <c r="C14" s="3" t="s">
        <v>5</v>
      </c>
      <c r="D14" s="3">
        <v>400</v>
      </c>
    </row>
    <row r="15" spans="1:9" hidden="1" x14ac:dyDescent="0.3">
      <c r="A15" s="2">
        <v>46114</v>
      </c>
      <c r="B15" s="3" t="s">
        <v>9</v>
      </c>
      <c r="C15" s="3" t="s">
        <v>7</v>
      </c>
      <c r="D15" s="3">
        <v>300</v>
      </c>
    </row>
    <row r="16" spans="1:9" hidden="1" x14ac:dyDescent="0.3">
      <c r="A16" s="2">
        <v>46118</v>
      </c>
      <c r="B16" s="3" t="s">
        <v>9</v>
      </c>
      <c r="C16" s="3" t="s">
        <v>7</v>
      </c>
      <c r="D16" s="3">
        <v>300</v>
      </c>
    </row>
  </sheetData>
  <autoFilter ref="A1:D16" xr:uid="{661AB0E5-C63C-4D4E-840A-507D9CEC9644}">
    <filterColumn colId="1">
      <filters>
        <filter val="Electricity"/>
        <filter val="Groceries"/>
        <filter val="Internet"/>
        <filter val="Juice"/>
        <filter val="Lunch"/>
        <filter val="Snacks"/>
        <filter val="Taxi"/>
        <filter val="Water"/>
      </filters>
    </filterColumn>
  </autoFilter>
  <sortState xmlns:xlrd2="http://schemas.microsoft.com/office/spreadsheetml/2017/richdata2" ref="A2:D16">
    <sortCondition descending="1" ref="D2:D1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Clarke</dc:creator>
  <cp:lastModifiedBy>Lauren Clarke</cp:lastModifiedBy>
  <dcterms:created xsi:type="dcterms:W3CDTF">2026-04-20T22:01:52Z</dcterms:created>
  <dcterms:modified xsi:type="dcterms:W3CDTF">2026-04-21T04:52:32Z</dcterms:modified>
</cp:coreProperties>
</file>